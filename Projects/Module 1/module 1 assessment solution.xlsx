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/>
  <xr:revisionPtr revIDLastSave="0" documentId="11_D03EBAD49F1C33D1AD82B754E28583779318ECC4" xr6:coauthVersionLast="47" xr6:coauthVersionMax="47" xr10:uidLastSave="{00000000-0000-0000-0000-000000000000}"/>
  <bookViews>
    <workbookView xWindow="0" yWindow="0" windowWidth="22188" windowHeight="9000" xr2:uid="{00000000-000D-0000-FFFF-FFFF00000000}"/>
  </bookViews>
  <sheets>
    <sheet name="HR" sheetId="1" r:id="rId1"/>
  </sheets>
  <definedNames>
    <definedName name="_xlnm._FilterDatabase" localSheetId="0" hidden="1">HR!$A$4:$J$24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M38" i="1"/>
  <c r="L38" i="1"/>
  <c r="E38" i="1"/>
  <c r="D38" i="1"/>
  <c r="N37" i="1"/>
  <c r="M37" i="1"/>
  <c r="L37" i="1"/>
  <c r="E37" i="1"/>
  <c r="D37" i="1"/>
  <c r="N36" i="1"/>
  <c r="M36" i="1"/>
  <c r="L36" i="1"/>
  <c r="E36" i="1"/>
  <c r="D36" i="1"/>
  <c r="N35" i="1"/>
  <c r="M35" i="1"/>
  <c r="L35" i="1"/>
  <c r="E35" i="1"/>
  <c r="D35" i="1"/>
  <c r="N34" i="1"/>
  <c r="M34" i="1"/>
  <c r="L34" i="1"/>
  <c r="E34" i="1"/>
  <c r="D34" i="1"/>
  <c r="N33" i="1"/>
  <c r="M33" i="1"/>
  <c r="L33" i="1"/>
  <c r="E33" i="1"/>
  <c r="D33" i="1"/>
  <c r="N32" i="1"/>
  <c r="M32" i="1"/>
  <c r="L32" i="1"/>
  <c r="E32" i="1"/>
  <c r="D32" i="1"/>
  <c r="N31" i="1"/>
  <c r="M31" i="1"/>
  <c r="L31" i="1"/>
  <c r="E31" i="1"/>
  <c r="D31" i="1"/>
  <c r="N30" i="1"/>
  <c r="M30" i="1"/>
  <c r="L30" i="1"/>
  <c r="E30" i="1"/>
  <c r="D30" i="1"/>
  <c r="N29" i="1"/>
  <c r="M29" i="1"/>
  <c r="L29" i="1"/>
  <c r="E29" i="1"/>
  <c r="D29" i="1"/>
  <c r="N28" i="1"/>
  <c r="M28" i="1"/>
  <c r="L28" i="1"/>
  <c r="E28" i="1"/>
  <c r="D28" i="1"/>
  <c r="N27" i="1"/>
  <c r="M27" i="1"/>
  <c r="L27" i="1"/>
  <c r="E27" i="1"/>
  <c r="D27" i="1"/>
  <c r="N26" i="1"/>
  <c r="M26" i="1"/>
  <c r="L26" i="1"/>
  <c r="E26" i="1"/>
  <c r="D26" i="1"/>
  <c r="N25" i="1"/>
  <c r="M25" i="1"/>
  <c r="L25" i="1"/>
  <c r="E25" i="1"/>
  <c r="D25" i="1"/>
  <c r="N24" i="1"/>
  <c r="M24" i="1"/>
  <c r="L24" i="1"/>
  <c r="E24" i="1"/>
  <c r="D24" i="1"/>
  <c r="N23" i="1"/>
  <c r="M23" i="1"/>
  <c r="L23" i="1"/>
  <c r="E23" i="1"/>
  <c r="D23" i="1"/>
  <c r="N22" i="1"/>
  <c r="M22" i="1"/>
  <c r="L22" i="1"/>
  <c r="E22" i="1"/>
  <c r="D22" i="1"/>
  <c r="N21" i="1"/>
  <c r="M21" i="1"/>
  <c r="L21" i="1"/>
  <c r="E21" i="1"/>
  <c r="D21" i="1"/>
  <c r="N20" i="1"/>
  <c r="M20" i="1"/>
  <c r="L20" i="1"/>
  <c r="E20" i="1"/>
  <c r="D20" i="1"/>
  <c r="N19" i="1"/>
  <c r="M19" i="1"/>
  <c r="L19" i="1"/>
  <c r="E19" i="1"/>
  <c r="D19" i="1"/>
  <c r="N18" i="1"/>
  <c r="M18" i="1"/>
  <c r="L18" i="1"/>
  <c r="E18" i="1"/>
  <c r="D18" i="1"/>
  <c r="N17" i="1"/>
  <c r="M17" i="1"/>
  <c r="L17" i="1"/>
  <c r="E17" i="1"/>
  <c r="D17" i="1"/>
  <c r="N16" i="1"/>
  <c r="M16" i="1"/>
  <c r="L16" i="1"/>
  <c r="E16" i="1"/>
  <c r="D16" i="1"/>
  <c r="N15" i="1"/>
  <c r="M15" i="1"/>
  <c r="L15" i="1"/>
  <c r="E15" i="1"/>
  <c r="D15" i="1"/>
  <c r="N14" i="1"/>
  <c r="M14" i="1"/>
  <c r="L14" i="1"/>
  <c r="E14" i="1"/>
  <c r="D14" i="1"/>
  <c r="N13" i="1"/>
  <c r="M13" i="1"/>
  <c r="L13" i="1"/>
  <c r="E13" i="1"/>
  <c r="D13" i="1"/>
  <c r="N12" i="1"/>
  <c r="M12" i="1"/>
  <c r="L12" i="1"/>
  <c r="E12" i="1"/>
  <c r="D12" i="1"/>
  <c r="N11" i="1"/>
  <c r="M11" i="1"/>
  <c r="L11" i="1"/>
  <c r="E11" i="1"/>
  <c r="D11" i="1"/>
  <c r="N10" i="1"/>
  <c r="M10" i="1"/>
  <c r="L10" i="1"/>
  <c r="E10" i="1"/>
  <c r="D10" i="1"/>
  <c r="N9" i="1"/>
  <c r="M9" i="1"/>
  <c r="L9" i="1"/>
  <c r="E9" i="1"/>
  <c r="D9" i="1"/>
  <c r="N8" i="1"/>
  <c r="M8" i="1"/>
  <c r="L8" i="1"/>
  <c r="E8" i="1"/>
  <c r="D8" i="1"/>
  <c r="N7" i="1"/>
  <c r="M7" i="1"/>
  <c r="L7" i="1"/>
  <c r="E7" i="1"/>
  <c r="D7" i="1"/>
  <c r="N6" i="1"/>
  <c r="M6" i="1"/>
  <c r="L6" i="1"/>
  <c r="E6" i="1"/>
  <c r="D6" i="1"/>
  <c r="N5" i="1"/>
  <c r="M5" i="1"/>
  <c r="L5" i="1"/>
  <c r="E5" i="1"/>
  <c r="D5" i="1"/>
  <c r="N4" i="1"/>
  <c r="M4" i="1"/>
  <c r="L4" i="1"/>
  <c r="E4" i="1"/>
  <c r="D4" i="1"/>
  <c r="N1" i="1"/>
</calcChain>
</file>

<file path=xl/sharedStrings.xml><?xml version="1.0" encoding="utf-8"?>
<sst xmlns="http://schemas.openxmlformats.org/spreadsheetml/2006/main" count="191" uniqueCount="161">
  <si>
    <t>Pushpin HR Database</t>
  </si>
  <si>
    <t>Date:</t>
  </si>
  <si>
    <t>Emp ID</t>
  </si>
  <si>
    <t>Last</t>
  </si>
  <si>
    <t>First</t>
  </si>
  <si>
    <t>Full Name</t>
  </si>
  <si>
    <t>Email</t>
  </si>
  <si>
    <t>Date of Hire</t>
  </si>
  <si>
    <t>Years Service</t>
  </si>
  <si>
    <t>Last Review</t>
  </si>
  <si>
    <t>Next Review</t>
  </si>
  <si>
    <t>Department</t>
  </si>
  <si>
    <t>Location</t>
  </si>
  <si>
    <t>Floor</t>
  </si>
  <si>
    <t>Extension</t>
  </si>
  <si>
    <t>Wing</t>
  </si>
  <si>
    <t>E1180</t>
  </si>
  <si>
    <t>Bacata</t>
  </si>
  <si>
    <t>Stevie</t>
  </si>
  <si>
    <t>Sales</t>
  </si>
  <si>
    <t>02-West 2635</t>
  </si>
  <si>
    <t>E1110</t>
  </si>
  <si>
    <t>BARRY</t>
  </si>
  <si>
    <t>Adam</t>
  </si>
  <si>
    <t>Customer Service</t>
  </si>
  <si>
    <t>02-West 2018</t>
  </si>
  <si>
    <t>E1232</t>
  </si>
  <si>
    <t>Betts</t>
  </si>
  <si>
    <t>Connor</t>
  </si>
  <si>
    <t>02-West 2347</t>
  </si>
  <si>
    <t>E1243</t>
  </si>
  <si>
    <t>martinez</t>
  </si>
  <si>
    <t>carlos</t>
  </si>
  <si>
    <t>Human Resources</t>
  </si>
  <si>
    <t>03-West 2764</t>
  </si>
  <si>
    <t>E1248</t>
  </si>
  <si>
    <t>Biti</t>
  </si>
  <si>
    <t>Yvette</t>
  </si>
  <si>
    <t>02-West 2589</t>
  </si>
  <si>
    <t>E1227</t>
  </si>
  <si>
    <t>BOLLER</t>
  </si>
  <si>
    <t>Jim</t>
  </si>
  <si>
    <t>Accounting</t>
  </si>
  <si>
    <t>03-North 2318</t>
  </si>
  <si>
    <t>E1230</t>
  </si>
  <si>
    <t>Bui</t>
  </si>
  <si>
    <t>Charlie</t>
  </si>
  <si>
    <t>02-North 2694</t>
  </si>
  <si>
    <t>E1162</t>
  </si>
  <si>
    <t>Carlton</t>
  </si>
  <si>
    <t>Barbara</t>
  </si>
  <si>
    <t>02-West 2699</t>
  </si>
  <si>
    <t>E1001</t>
  </si>
  <si>
    <t>CAROL</t>
  </si>
  <si>
    <t>Joe</t>
  </si>
  <si>
    <t>Executive</t>
  </si>
  <si>
    <t>01-North 2321</t>
  </si>
  <si>
    <t>E1224</t>
  </si>
  <si>
    <t>CHAFFEE</t>
  </si>
  <si>
    <t>Facilities</t>
  </si>
  <si>
    <t>03-West 2432</t>
  </si>
  <si>
    <t>E1203</t>
  </si>
  <si>
    <t>Chairs</t>
  </si>
  <si>
    <t>Samantha</t>
  </si>
  <si>
    <t>02-West 2962</t>
  </si>
  <si>
    <t>E1211</t>
  </si>
  <si>
    <t>CHAUDRI</t>
  </si>
  <si>
    <t>Uma</t>
  </si>
  <si>
    <t>03-North 2134</t>
  </si>
  <si>
    <t>E1198</t>
  </si>
  <si>
    <t>CHU</t>
  </si>
  <si>
    <t>Elizabeth</t>
  </si>
  <si>
    <t>IT</t>
  </si>
  <si>
    <t>01-West 2425</t>
  </si>
  <si>
    <t>E1003</t>
  </si>
  <si>
    <t>CHUNG</t>
  </si>
  <si>
    <t>Eric</t>
  </si>
  <si>
    <t>03-West 2796</t>
  </si>
  <si>
    <t>E1253</t>
  </si>
  <si>
    <t>CLARK</t>
  </si>
  <si>
    <t>elizabeth</t>
  </si>
  <si>
    <t>02-West 2414</t>
  </si>
  <si>
    <t>E1235</t>
  </si>
  <si>
    <t>ANNA</t>
  </si>
  <si>
    <t>03-West 2601</t>
  </si>
  <si>
    <t>E1221</t>
  </si>
  <si>
    <t>COLE</t>
  </si>
  <si>
    <t>Sabrina</t>
  </si>
  <si>
    <t>02-West 2537</t>
  </si>
  <si>
    <t>E1186</t>
  </si>
  <si>
    <t>COMUNTZIS</t>
  </si>
  <si>
    <t>Janet</t>
  </si>
  <si>
    <t>02-West 2286</t>
  </si>
  <si>
    <t>E1218</t>
  </si>
  <si>
    <t>DECKER_x0001_</t>
  </si>
  <si>
    <t>Bob</t>
  </si>
  <si>
    <t>01-North 2086</t>
  </si>
  <si>
    <t>E1215</t>
  </si>
  <si>
    <t>DE SIATO</t>
  </si>
  <si>
    <t>Tina</t>
  </si>
  <si>
    <t>01-North 2358</t>
  </si>
  <si>
    <t>E1241</t>
  </si>
  <si>
    <t>DONNELL</t>
  </si>
  <si>
    <t>Alexandra</t>
  </si>
  <si>
    <t>03-West 2082</t>
  </si>
  <si>
    <t>E1246</t>
  </si>
  <si>
    <t>ELLIS</t>
  </si>
  <si>
    <t>Mark</t>
  </si>
  <si>
    <t>03-West 2482</t>
  </si>
  <si>
    <t>E1172</t>
  </si>
  <si>
    <t>Fernandes</t>
  </si>
  <si>
    <t>Nicholas</t>
  </si>
  <si>
    <t>02-North 2372</t>
  </si>
  <si>
    <t>E1134</t>
  </si>
  <si>
    <t>FERRIS</t>
  </si>
  <si>
    <t>Mary</t>
  </si>
  <si>
    <t>03-North 2392</t>
  </si>
  <si>
    <t>E1150</t>
  </si>
  <si>
    <t>FILOSA</t>
  </si>
  <si>
    <t>Susan</t>
  </si>
  <si>
    <t>02-West 2279</t>
  </si>
  <si>
    <t>E1004</t>
  </si>
  <si>
    <t>FLANDERS</t>
  </si>
  <si>
    <t>Daniel</t>
  </si>
  <si>
    <t>02-North 2639</t>
  </si>
  <si>
    <t>E1239</t>
  </si>
  <si>
    <t>Forrest</t>
  </si>
  <si>
    <t>Leighton</t>
  </si>
  <si>
    <t>02-North 2284</t>
  </si>
  <si>
    <t>E1250</t>
  </si>
  <si>
    <t>Gour</t>
  </si>
  <si>
    <t>Phoebe</t>
  </si>
  <si>
    <t>02-North 2910</t>
  </si>
  <si>
    <t>E1192</t>
  </si>
  <si>
    <t>Khan</t>
  </si>
  <si>
    <t>Mihael</t>
  </si>
  <si>
    <t>02-North 2294</t>
  </si>
  <si>
    <t>E1249</t>
  </si>
  <si>
    <t>SANDERS</t>
  </si>
  <si>
    <t>Sean</t>
  </si>
  <si>
    <t>03-West 2765</t>
  </si>
  <si>
    <t>E1245</t>
  </si>
  <si>
    <t>Senome</t>
  </si>
  <si>
    <t>Radhya</t>
  </si>
  <si>
    <t>02-North 2260</t>
  </si>
  <si>
    <t>E1207</t>
  </si>
  <si>
    <t>Son van  Burg</t>
  </si>
  <si>
    <t>Natasha</t>
  </si>
  <si>
    <t>02-West 2578</t>
  </si>
  <si>
    <t>E1244</t>
  </si>
  <si>
    <t>Staples</t>
  </si>
  <si>
    <t>Peter</t>
  </si>
  <si>
    <t>02-North 2654</t>
  </si>
  <si>
    <t>E1252</t>
  </si>
  <si>
    <t>WANG</t>
  </si>
  <si>
    <t>Mei</t>
  </si>
  <si>
    <t>01-West 2783</t>
  </si>
  <si>
    <t>E1237</t>
  </si>
  <si>
    <t>Zhang</t>
  </si>
  <si>
    <t>Aanya</t>
  </si>
  <si>
    <t>02-North 2793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</si>
</sst>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7">
    <font>
      <sz val="11"/>
      <color theme="1"/>
      <name val="Calibri"/>
      <charset val="134"/>
      <scheme val="minor"/>
    </font>
    <font>
      <sz val="18"/>
      <color theme="3"/>
      <name val="Calibri Light"/>
      <charset val="134"/>
      <scheme val="major"/>
    </font>
    <font>
      <sz val="11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6" fillId="3" borderId="0" applyNumberFormat="0" applyBorder="0" applyAlignment="0" applyProtection="0"/>
  </cellStyleXfs>
  <cellXfs count="10">
    <xf numFmtId="0" fontId="0" fillId="0" borderId="0" xfId="0"/>
    <xf numFmtId="0" fontId="1" fillId="0" borderId="0" xfId="1"/>
    <xf numFmtId="0" fontId="2" fillId="2" borderId="0" xfId="2"/>
    <xf numFmtId="22" fontId="6" fillId="3" borderId="0" xfId="3" applyNumberFormat="1"/>
    <xf numFmtId="0" fontId="3" fillId="2" borderId="0" xfId="2" applyFont="1" applyBorder="1" applyAlignment="1">
      <alignment horizontal="left" wrapText="1"/>
    </xf>
    <xf numFmtId="0" fontId="4" fillId="0" borderId="0" xfId="0" applyFont="1" applyAlignment="1">
      <alignment wrapText="1"/>
    </xf>
    <xf numFmtId="14" fontId="0" fillId="0" borderId="0" xfId="0" applyNumberFormat="1"/>
    <xf numFmtId="166" fontId="0" fillId="0" borderId="0" xfId="0" applyNumberFormat="1"/>
    <xf numFmtId="0" fontId="5" fillId="0" borderId="0" xfId="0" applyFont="1" applyFill="1" applyBorder="1" applyAlignment="1">
      <alignment horizontal="left" wrapText="1"/>
    </xf>
    <xf numFmtId="0" fontId="0" fillId="0" borderId="0" xfId="0" applyNumberFormat="1"/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D3" zoomScale="110" zoomScaleNormal="110" workbookViewId="0">
      <selection activeCell="O5" sqref="O5"/>
    </sheetView>
  </sheetViews>
  <sheetFormatPr defaultColWidth="8.875" defaultRowHeight="14.45"/>
  <cols>
    <col min="1" max="1" width="10.125" customWidth="1"/>
    <col min="2" max="3" width="13" customWidth="1"/>
    <col min="4" max="4" width="18.875" customWidth="1"/>
    <col min="5" max="5" width="30.125" customWidth="1"/>
    <col min="6" max="6" width="14" customWidth="1"/>
    <col min="7" max="7" width="13.375" customWidth="1"/>
    <col min="8" max="9" width="13.75" customWidth="1"/>
    <col min="10" max="10" width="17.75" customWidth="1"/>
    <col min="11" max="11" width="16" customWidth="1"/>
    <col min="12" max="12" width="10.375" customWidth="1"/>
    <col min="13" max="13" width="12.875" customWidth="1"/>
    <col min="14" max="14" width="16" customWidth="1"/>
    <col min="15" max="15" width="9.25"/>
  </cols>
  <sheetData>
    <row r="1" spans="1:14" ht="23.45">
      <c r="A1" s="1" t="s">
        <v>0</v>
      </c>
      <c r="M1" s="2" t="s">
        <v>1</v>
      </c>
      <c r="N1" s="3">
        <f ca="1">NOW()</f>
        <v>46209.764490740701</v>
      </c>
    </row>
    <row r="3" spans="1:14" ht="15.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spans="1:14">
      <c r="A4" t="s">
        <v>16</v>
      </c>
      <c r="B4" t="s">
        <v>17</v>
      </c>
      <c r="C4" s="5" t="s">
        <v>18</v>
      </c>
      <c r="D4" t="str">
        <f>PROPER(C4&amp;" "&amp;B4)</f>
        <v>Stevie Bacata</v>
      </c>
      <c r="E4" t="str">
        <f>LOWER(_xlfn.CONCAT(C4,".",B4,"@pushpin.com"))</f>
        <v>stevie.bacata@pushpin.com</v>
      </c>
      <c r="F4" s="6">
        <v>39556</v>
      </c>
      <c r="G4" s="7"/>
      <c r="H4" s="6">
        <v>42552</v>
      </c>
      <c r="I4" s="6"/>
      <c r="J4" s="8" t="s">
        <v>19</v>
      </c>
      <c r="K4" s="8" t="s">
        <v>20</v>
      </c>
      <c r="L4" s="6" t="str">
        <f>LEFT(K4,2)</f>
        <v>02</v>
      </c>
      <c r="M4" s="9" t="str">
        <f>RIGHT(K4,4)</f>
        <v>2635</v>
      </c>
      <c r="N4" t="str">
        <f>MID(K4,4,1)</f>
        <v>W</v>
      </c>
    </row>
    <row r="5" spans="1:14">
      <c r="A5" t="s">
        <v>21</v>
      </c>
      <c r="B5" t="s">
        <v>22</v>
      </c>
      <c r="C5" s="5" t="s">
        <v>23</v>
      </c>
      <c r="D5" t="str">
        <f t="shared" ref="D5:D38" si="0">PROPER(C5&amp;" "&amp;B5)</f>
        <v>Adam Barry</v>
      </c>
      <c r="E5" t="str">
        <f t="shared" ref="E5:E38" si="1">LOWER(_xlfn.CONCAT(C5,".",B5,"@pushpin.com"))</f>
        <v>adam.barry@pushpin.com</v>
      </c>
      <c r="F5" s="6">
        <v>38104</v>
      </c>
      <c r="G5" s="7"/>
      <c r="H5" s="6">
        <v>42825</v>
      </c>
      <c r="I5" s="6"/>
      <c r="J5" s="8" t="s">
        <v>24</v>
      </c>
      <c r="K5" s="8" t="s">
        <v>25</v>
      </c>
      <c r="L5" s="6" t="str">
        <f t="shared" ref="L5:L38" si="2">LEFT(K5,2)</f>
        <v>02</v>
      </c>
      <c r="M5" s="9" t="str">
        <f t="shared" ref="M5:M38" si="3">RIGHT(K5,4)</f>
        <v>2018</v>
      </c>
      <c r="N5" t="str">
        <f t="shared" ref="N5:N38" si="4">MID(K5,4,1)</f>
        <v>W</v>
      </c>
    </row>
    <row r="6" spans="1:14">
      <c r="A6" t="s">
        <v>26</v>
      </c>
      <c r="B6" t="s">
        <v>27</v>
      </c>
      <c r="C6" s="5" t="s">
        <v>28</v>
      </c>
      <c r="D6" t="str">
        <f t="shared" si="0"/>
        <v>Connor Betts</v>
      </c>
      <c r="E6" t="str">
        <f t="shared" si="1"/>
        <v>connor.betts@pushpin.com</v>
      </c>
      <c r="F6" s="6">
        <v>41961</v>
      </c>
      <c r="G6" s="7"/>
      <c r="H6" s="6">
        <v>42656</v>
      </c>
      <c r="I6" s="6"/>
      <c r="J6" s="8" t="s">
        <v>19</v>
      </c>
      <c r="K6" s="8" t="s">
        <v>29</v>
      </c>
      <c r="L6" s="6" t="str">
        <f t="shared" si="2"/>
        <v>02</v>
      </c>
      <c r="M6" s="9" t="str">
        <f t="shared" si="3"/>
        <v>2347</v>
      </c>
      <c r="N6" t="str">
        <f t="shared" si="4"/>
        <v>W</v>
      </c>
    </row>
    <row r="7" spans="1:14">
      <c r="A7" t="s">
        <v>30</v>
      </c>
      <c r="B7" t="s">
        <v>31</v>
      </c>
      <c r="C7" s="5" t="s">
        <v>32</v>
      </c>
      <c r="D7" t="str">
        <f t="shared" si="0"/>
        <v>Carlos Martinez</v>
      </c>
      <c r="E7" t="str">
        <f t="shared" si="1"/>
        <v>carlos.martinez@pushpin.com</v>
      </c>
      <c r="F7" s="6">
        <v>42234</v>
      </c>
      <c r="G7" s="7"/>
      <c r="H7" s="6">
        <v>42804</v>
      </c>
      <c r="I7" s="6"/>
      <c r="J7" s="8" t="s">
        <v>33</v>
      </c>
      <c r="K7" s="8" t="s">
        <v>34</v>
      </c>
      <c r="L7" s="6" t="str">
        <f t="shared" si="2"/>
        <v>03</v>
      </c>
      <c r="M7" s="9" t="str">
        <f t="shared" si="3"/>
        <v>2764</v>
      </c>
      <c r="N7" t="str">
        <f t="shared" si="4"/>
        <v>W</v>
      </c>
    </row>
    <row r="8" spans="1:14">
      <c r="A8" t="s">
        <v>35</v>
      </c>
      <c r="B8" t="s">
        <v>36</v>
      </c>
      <c r="C8" s="5" t="s">
        <v>37</v>
      </c>
      <c r="D8" t="str">
        <f t="shared" si="0"/>
        <v>Yvette Biti</v>
      </c>
      <c r="E8" t="str">
        <f t="shared" si="1"/>
        <v>yvette.biti@pushpin.com</v>
      </c>
      <c r="F8" s="6">
        <v>42389</v>
      </c>
      <c r="G8" s="7"/>
      <c r="H8" s="6">
        <v>42566</v>
      </c>
      <c r="I8" s="6"/>
      <c r="J8" s="8" t="s">
        <v>19</v>
      </c>
      <c r="K8" s="8" t="s">
        <v>38</v>
      </c>
      <c r="L8" s="6" t="str">
        <f t="shared" si="2"/>
        <v>02</v>
      </c>
      <c r="M8" s="9" t="str">
        <f t="shared" si="3"/>
        <v>2589</v>
      </c>
      <c r="N8" t="str">
        <f t="shared" si="4"/>
        <v>W</v>
      </c>
    </row>
    <row r="9" spans="1:14">
      <c r="A9" t="s">
        <v>39</v>
      </c>
      <c r="B9" t="s">
        <v>40</v>
      </c>
      <c r="C9" s="5" t="s">
        <v>41</v>
      </c>
      <c r="D9" t="str">
        <f t="shared" si="0"/>
        <v>Jim Boller</v>
      </c>
      <c r="E9" t="str">
        <f t="shared" si="1"/>
        <v>jim.boller@pushpin.com</v>
      </c>
      <c r="F9" s="6">
        <v>41898</v>
      </c>
      <c r="G9" s="7"/>
      <c r="H9" s="6">
        <v>42551</v>
      </c>
      <c r="I9" s="6"/>
      <c r="J9" s="8" t="s">
        <v>42</v>
      </c>
      <c r="K9" s="8" t="s">
        <v>43</v>
      </c>
      <c r="L9" s="6" t="str">
        <f t="shared" si="2"/>
        <v>03</v>
      </c>
      <c r="M9" s="9" t="str">
        <f t="shared" si="3"/>
        <v>2318</v>
      </c>
      <c r="N9" t="str">
        <f t="shared" si="4"/>
        <v>N</v>
      </c>
    </row>
    <row r="10" spans="1:14">
      <c r="A10" t="s">
        <v>44</v>
      </c>
      <c r="B10" t="s">
        <v>45</v>
      </c>
      <c r="C10" s="5" t="s">
        <v>46</v>
      </c>
      <c r="D10" t="str">
        <f t="shared" si="0"/>
        <v>Charlie Bui</v>
      </c>
      <c r="E10" t="str">
        <f t="shared" si="1"/>
        <v>charlie.bui@pushpin.com</v>
      </c>
      <c r="F10" s="6">
        <v>41908</v>
      </c>
      <c r="G10" s="7"/>
      <c r="H10" s="6">
        <v>42619</v>
      </c>
      <c r="I10" s="6"/>
      <c r="J10" s="8" t="s">
        <v>19</v>
      </c>
      <c r="K10" s="8" t="s">
        <v>47</v>
      </c>
      <c r="L10" s="6" t="str">
        <f t="shared" si="2"/>
        <v>02</v>
      </c>
      <c r="M10" s="9" t="str">
        <f t="shared" si="3"/>
        <v>2694</v>
      </c>
      <c r="N10" t="str">
        <f t="shared" si="4"/>
        <v>N</v>
      </c>
    </row>
    <row r="11" spans="1:14">
      <c r="A11" t="s">
        <v>48</v>
      </c>
      <c r="B11" t="s">
        <v>49</v>
      </c>
      <c r="C11" s="5" t="s">
        <v>50</v>
      </c>
      <c r="D11" t="str">
        <f t="shared" si="0"/>
        <v>Barbara Carlton</v>
      </c>
      <c r="E11" t="str">
        <f t="shared" si="1"/>
        <v>barbara.carlton@pushpin.com</v>
      </c>
      <c r="F11" s="6">
        <v>38803</v>
      </c>
      <c r="G11" s="7"/>
      <c r="H11" s="6">
        <v>42761</v>
      </c>
      <c r="I11" s="6"/>
      <c r="J11" s="8" t="s">
        <v>19</v>
      </c>
      <c r="K11" s="8" t="s">
        <v>51</v>
      </c>
      <c r="L11" s="6" t="str">
        <f t="shared" si="2"/>
        <v>02</v>
      </c>
      <c r="M11" s="9" t="str">
        <f t="shared" si="3"/>
        <v>2699</v>
      </c>
      <c r="N11" t="str">
        <f t="shared" si="4"/>
        <v>W</v>
      </c>
    </row>
    <row r="12" spans="1:14">
      <c r="A12" t="s">
        <v>52</v>
      </c>
      <c r="B12" t="s">
        <v>53</v>
      </c>
      <c r="C12" s="5" t="s">
        <v>54</v>
      </c>
      <c r="D12" t="str">
        <f t="shared" si="0"/>
        <v>Joe Carol</v>
      </c>
      <c r="E12" t="str">
        <f t="shared" si="1"/>
        <v>joe.carol@pushpin.com</v>
      </c>
      <c r="F12" s="6">
        <v>36928</v>
      </c>
      <c r="G12" s="7"/>
      <c r="H12" s="6">
        <v>42596</v>
      </c>
      <c r="I12" s="6"/>
      <c r="J12" s="8" t="s">
        <v>55</v>
      </c>
      <c r="K12" s="8" t="s">
        <v>56</v>
      </c>
      <c r="L12" s="6" t="str">
        <f t="shared" si="2"/>
        <v>01</v>
      </c>
      <c r="M12" s="9" t="str">
        <f t="shared" si="3"/>
        <v>2321</v>
      </c>
      <c r="N12" t="str">
        <f t="shared" si="4"/>
        <v>N</v>
      </c>
    </row>
    <row r="13" spans="1:14">
      <c r="A13" t="s">
        <v>57</v>
      </c>
      <c r="B13" t="s">
        <v>58</v>
      </c>
      <c r="C13" s="5" t="s">
        <v>41</v>
      </c>
      <c r="D13" t="str">
        <f t="shared" si="0"/>
        <v>Jim Chaffee</v>
      </c>
      <c r="E13" t="str">
        <f t="shared" si="1"/>
        <v>jim.chaffee@pushpin.com</v>
      </c>
      <c r="F13" s="6">
        <v>41792</v>
      </c>
      <c r="G13" s="7"/>
      <c r="H13" s="6">
        <v>42544</v>
      </c>
      <c r="I13" s="6"/>
      <c r="J13" s="8" t="s">
        <v>59</v>
      </c>
      <c r="K13" s="8" t="s">
        <v>60</v>
      </c>
      <c r="L13" s="6" t="str">
        <f t="shared" si="2"/>
        <v>03</v>
      </c>
      <c r="M13" s="9" t="str">
        <f t="shared" si="3"/>
        <v>2432</v>
      </c>
      <c r="N13" t="str">
        <f t="shared" si="4"/>
        <v>W</v>
      </c>
    </row>
    <row r="14" spans="1:14">
      <c r="A14" t="s">
        <v>61</v>
      </c>
      <c r="B14" t="s">
        <v>62</v>
      </c>
      <c r="C14" s="5" t="s">
        <v>63</v>
      </c>
      <c r="D14" t="str">
        <f t="shared" si="0"/>
        <v>Samantha Chairs</v>
      </c>
      <c r="E14" t="str">
        <f t="shared" si="1"/>
        <v>samantha.chairs@pushpin.com</v>
      </c>
      <c r="F14" s="6">
        <v>40595</v>
      </c>
      <c r="G14" s="7"/>
      <c r="H14" s="6">
        <v>42629</v>
      </c>
      <c r="I14" s="6"/>
      <c r="J14" s="8" t="s">
        <v>19</v>
      </c>
      <c r="K14" s="8" t="s">
        <v>64</v>
      </c>
      <c r="L14" s="6" t="str">
        <f t="shared" si="2"/>
        <v>02</v>
      </c>
      <c r="M14" s="9" t="str">
        <f t="shared" si="3"/>
        <v>2962</v>
      </c>
      <c r="N14" t="str">
        <f t="shared" si="4"/>
        <v>W</v>
      </c>
    </row>
    <row r="15" spans="1:14">
      <c r="A15" t="s">
        <v>65</v>
      </c>
      <c r="B15" t="s">
        <v>66</v>
      </c>
      <c r="C15" s="5" t="s">
        <v>67</v>
      </c>
      <c r="D15" t="str">
        <f t="shared" si="0"/>
        <v>Uma Chaudri</v>
      </c>
      <c r="E15" t="str">
        <f t="shared" si="1"/>
        <v>uma.chaudri@pushpin.com</v>
      </c>
      <c r="F15" s="6">
        <v>40994</v>
      </c>
      <c r="G15" s="7"/>
      <c r="H15" s="6">
        <v>42848</v>
      </c>
      <c r="I15" s="6"/>
      <c r="J15" s="8" t="s">
        <v>33</v>
      </c>
      <c r="K15" s="8" t="s">
        <v>68</v>
      </c>
      <c r="L15" s="6" t="str">
        <f t="shared" si="2"/>
        <v>03</v>
      </c>
      <c r="M15" s="9" t="str">
        <f t="shared" si="3"/>
        <v>2134</v>
      </c>
      <c r="N15" t="str">
        <f t="shared" si="4"/>
        <v>N</v>
      </c>
    </row>
    <row r="16" spans="1:14">
      <c r="A16" t="s">
        <v>69</v>
      </c>
      <c r="B16" t="s">
        <v>70</v>
      </c>
      <c r="C16" s="5" t="s">
        <v>71</v>
      </c>
      <c r="D16" t="str">
        <f t="shared" si="0"/>
        <v>Elizabeth Chu</v>
      </c>
      <c r="E16" t="str">
        <f t="shared" si="1"/>
        <v>elizabeth.chu@pushpin.com</v>
      </c>
      <c r="F16" s="6">
        <v>40225</v>
      </c>
      <c r="G16" s="7"/>
      <c r="H16" s="6">
        <v>42860</v>
      </c>
      <c r="I16" s="6"/>
      <c r="J16" s="8" t="s">
        <v>72</v>
      </c>
      <c r="K16" s="8" t="s">
        <v>73</v>
      </c>
      <c r="L16" s="6" t="str">
        <f t="shared" si="2"/>
        <v>01</v>
      </c>
      <c r="M16" s="9" t="str">
        <f t="shared" si="3"/>
        <v>2425</v>
      </c>
      <c r="N16" t="str">
        <f t="shared" si="4"/>
        <v>W</v>
      </c>
    </row>
    <row r="17" spans="1:15">
      <c r="A17" t="s">
        <v>74</v>
      </c>
      <c r="B17" t="s">
        <v>75</v>
      </c>
      <c r="C17" s="5" t="s">
        <v>76</v>
      </c>
      <c r="D17" t="str">
        <f t="shared" si="0"/>
        <v>Eric Chung</v>
      </c>
      <c r="E17" t="str">
        <f t="shared" si="1"/>
        <v>eric.chung@pushpin.com</v>
      </c>
      <c r="F17" s="6">
        <v>36955</v>
      </c>
      <c r="G17" s="7"/>
      <c r="H17" s="6">
        <v>42540</v>
      </c>
      <c r="I17" s="6"/>
      <c r="J17" s="8" t="s">
        <v>72</v>
      </c>
      <c r="K17" s="8" t="s">
        <v>77</v>
      </c>
      <c r="L17" s="6" t="str">
        <f t="shared" si="2"/>
        <v>03</v>
      </c>
      <c r="M17" s="9" t="str">
        <f t="shared" si="3"/>
        <v>2796</v>
      </c>
      <c r="N17" t="str">
        <f t="shared" si="4"/>
        <v>W</v>
      </c>
    </row>
    <row r="18" spans="1:15">
      <c r="A18" t="s">
        <v>78</v>
      </c>
      <c r="B18" t="s">
        <v>79</v>
      </c>
      <c r="C18" s="5" t="s">
        <v>80</v>
      </c>
      <c r="D18" t="str">
        <f t="shared" si="0"/>
        <v>Elizabeth Clark</v>
      </c>
      <c r="E18" t="str">
        <f t="shared" si="1"/>
        <v>elizabeth.clark@pushpin.com</v>
      </c>
      <c r="F18" s="6">
        <v>42912</v>
      </c>
      <c r="G18" s="7"/>
      <c r="H18" s="6">
        <v>42828</v>
      </c>
      <c r="I18" s="6"/>
      <c r="J18" s="8" t="s">
        <v>24</v>
      </c>
      <c r="K18" s="8" t="s">
        <v>81</v>
      </c>
      <c r="L18" s="6" t="str">
        <f t="shared" si="2"/>
        <v>02</v>
      </c>
      <c r="M18" s="9" t="str">
        <f t="shared" si="3"/>
        <v>2414</v>
      </c>
      <c r="N18" t="str">
        <f t="shared" si="4"/>
        <v>W</v>
      </c>
    </row>
    <row r="19" spans="1:15">
      <c r="A19" t="s">
        <v>82</v>
      </c>
      <c r="B19" t="s">
        <v>79</v>
      </c>
      <c r="C19" s="5" t="s">
        <v>83</v>
      </c>
      <c r="D19" t="str">
        <f t="shared" si="0"/>
        <v>Anna Clark</v>
      </c>
      <c r="E19" t="str">
        <f t="shared" si="1"/>
        <v>anna.clark@pushpin.com</v>
      </c>
      <c r="F19" s="6">
        <v>41995</v>
      </c>
      <c r="G19" s="7"/>
      <c r="H19" s="6">
        <v>42731</v>
      </c>
      <c r="I19" s="6"/>
      <c r="J19" s="8" t="s">
        <v>42</v>
      </c>
      <c r="K19" s="8" t="s">
        <v>84</v>
      </c>
      <c r="L19" s="6" t="str">
        <f t="shared" si="2"/>
        <v>03</v>
      </c>
      <c r="M19" s="9" t="str">
        <f t="shared" si="3"/>
        <v>2601</v>
      </c>
      <c r="N19" t="str">
        <f t="shared" si="4"/>
        <v>W</v>
      </c>
    </row>
    <row r="20" spans="1:15">
      <c r="A20" t="s">
        <v>85</v>
      </c>
      <c r="B20" t="s">
        <v>86</v>
      </c>
      <c r="C20" s="5" t="s">
        <v>87</v>
      </c>
      <c r="D20" t="str">
        <f t="shared" si="0"/>
        <v>Sabrina Cole</v>
      </c>
      <c r="E20" t="str">
        <f t="shared" si="1"/>
        <v>sabrina.cole@pushpin.com</v>
      </c>
      <c r="F20" s="6">
        <v>41407</v>
      </c>
      <c r="G20" s="7"/>
      <c r="H20" s="6">
        <v>42720</v>
      </c>
      <c r="I20" s="6"/>
      <c r="J20" s="8" t="s">
        <v>24</v>
      </c>
      <c r="K20" s="8" t="s">
        <v>88</v>
      </c>
      <c r="L20" s="6" t="str">
        <f t="shared" si="2"/>
        <v>02</v>
      </c>
      <c r="M20" s="9" t="str">
        <f t="shared" si="3"/>
        <v>2537</v>
      </c>
      <c r="N20" t="str">
        <f t="shared" si="4"/>
        <v>W</v>
      </c>
    </row>
    <row r="21" spans="1:15">
      <c r="A21" t="s">
        <v>89</v>
      </c>
      <c r="B21" t="s">
        <v>90</v>
      </c>
      <c r="C21" s="5" t="s">
        <v>91</v>
      </c>
      <c r="D21" t="str">
        <f t="shared" si="0"/>
        <v>Janet Comuntzis</v>
      </c>
      <c r="E21" t="str">
        <f t="shared" si="1"/>
        <v>janet.comuntzis@pushpin.com</v>
      </c>
      <c r="F21" s="6">
        <v>39692</v>
      </c>
      <c r="G21" s="7"/>
      <c r="H21" s="6">
        <v>42598</v>
      </c>
      <c r="I21" s="6"/>
      <c r="J21" s="8" t="s">
        <v>24</v>
      </c>
      <c r="K21" s="8" t="s">
        <v>92</v>
      </c>
      <c r="L21" s="6" t="str">
        <f t="shared" si="2"/>
        <v>02</v>
      </c>
      <c r="M21" s="9" t="str">
        <f t="shared" si="3"/>
        <v>2286</v>
      </c>
      <c r="N21" t="str">
        <f t="shared" si="4"/>
        <v>W</v>
      </c>
    </row>
    <row r="22" spans="1:15">
      <c r="A22" t="s">
        <v>93</v>
      </c>
      <c r="B22" t="s">
        <v>94</v>
      </c>
      <c r="C22" s="5" t="s">
        <v>95</v>
      </c>
      <c r="D22" t="str">
        <f t="shared" si="0"/>
        <v>Bob Decker_x0001_</v>
      </c>
      <c r="E22" t="str">
        <f t="shared" si="1"/>
        <v>bob.decker_x0001_@pushpin.com</v>
      </c>
      <c r="F22" s="6">
        <v>41214</v>
      </c>
      <c r="G22" s="7"/>
      <c r="H22" s="6">
        <v>42566</v>
      </c>
      <c r="J22" s="8" t="s">
        <v>72</v>
      </c>
      <c r="K22" s="8" t="s">
        <v>96</v>
      </c>
      <c r="L22" s="6" t="str">
        <f t="shared" si="2"/>
        <v>01</v>
      </c>
      <c r="M22" s="9" t="str">
        <f t="shared" si="3"/>
        <v>2086</v>
      </c>
      <c r="N22" t="str">
        <f t="shared" si="4"/>
        <v>N</v>
      </c>
      <c r="O22" s="6"/>
    </row>
    <row r="23" spans="1:15">
      <c r="A23" t="s">
        <v>97</v>
      </c>
      <c r="B23" t="s">
        <v>98</v>
      </c>
      <c r="C23" s="5" t="s">
        <v>99</v>
      </c>
      <c r="D23" t="str">
        <f t="shared" si="0"/>
        <v>Tina De Siato</v>
      </c>
      <c r="E23" t="str">
        <f t="shared" si="1"/>
        <v>tina.de siato@pushpin.com</v>
      </c>
      <c r="F23" s="6">
        <v>41176</v>
      </c>
      <c r="G23" s="7"/>
      <c r="H23" s="6">
        <v>42835</v>
      </c>
      <c r="I23" s="6"/>
      <c r="J23" t="s">
        <v>72</v>
      </c>
      <c r="K23" s="8" t="s">
        <v>100</v>
      </c>
      <c r="L23" s="6" t="str">
        <f t="shared" si="2"/>
        <v>01</v>
      </c>
      <c r="M23" s="9" t="str">
        <f t="shared" si="3"/>
        <v>2358</v>
      </c>
      <c r="N23" t="str">
        <f t="shared" si="4"/>
        <v>N</v>
      </c>
    </row>
    <row r="24" spans="1:15">
      <c r="A24" t="s">
        <v>101</v>
      </c>
      <c r="B24" t="s">
        <v>102</v>
      </c>
      <c r="C24" s="5" t="s">
        <v>103</v>
      </c>
      <c r="D24" t="str">
        <f t="shared" si="0"/>
        <v>Alexandra Donnell</v>
      </c>
      <c r="E24" t="str">
        <f t="shared" si="1"/>
        <v>alexandra.donnell@pushpin.com</v>
      </c>
      <c r="F24" s="6">
        <v>42233</v>
      </c>
      <c r="G24" s="7"/>
      <c r="H24" s="6">
        <v>42658</v>
      </c>
      <c r="I24" s="6"/>
      <c r="J24" s="8" t="s">
        <v>42</v>
      </c>
      <c r="K24" s="8" t="s">
        <v>104</v>
      </c>
      <c r="L24" s="6" t="str">
        <f t="shared" si="2"/>
        <v>03</v>
      </c>
      <c r="M24" s="9" t="str">
        <f t="shared" si="3"/>
        <v>2082</v>
      </c>
      <c r="N24" t="str">
        <f t="shared" si="4"/>
        <v>W</v>
      </c>
    </row>
    <row r="25" spans="1:15">
      <c r="A25" t="s">
        <v>105</v>
      </c>
      <c r="B25" t="s">
        <v>106</v>
      </c>
      <c r="C25" s="5" t="s">
        <v>107</v>
      </c>
      <c r="D25" t="str">
        <f t="shared" si="0"/>
        <v>Mark Ellis</v>
      </c>
      <c r="E25" t="str">
        <f t="shared" si="1"/>
        <v>mark.ellis@pushpin.com</v>
      </c>
      <c r="F25" s="6">
        <v>42376</v>
      </c>
      <c r="G25" s="7"/>
      <c r="H25" s="6">
        <v>42614</v>
      </c>
      <c r="I25" s="6"/>
      <c r="J25" s="8" t="s">
        <v>72</v>
      </c>
      <c r="K25" s="8" t="s">
        <v>108</v>
      </c>
      <c r="L25" s="6" t="str">
        <f t="shared" si="2"/>
        <v>03</v>
      </c>
      <c r="M25" s="9" t="str">
        <f t="shared" si="3"/>
        <v>2482</v>
      </c>
      <c r="N25" t="str">
        <f t="shared" si="4"/>
        <v>W</v>
      </c>
    </row>
    <row r="26" spans="1:15">
      <c r="A26" t="s">
        <v>109</v>
      </c>
      <c r="B26" t="s">
        <v>110</v>
      </c>
      <c r="C26" s="5" t="s">
        <v>111</v>
      </c>
      <c r="D26" t="str">
        <f t="shared" si="0"/>
        <v>Nicholas Fernandes</v>
      </c>
      <c r="E26" t="str">
        <f t="shared" si="1"/>
        <v>nicholas.fernandes@pushpin.com</v>
      </c>
      <c r="F26" s="6">
        <v>39028</v>
      </c>
      <c r="G26" s="7"/>
      <c r="H26" s="6">
        <v>42817</v>
      </c>
      <c r="I26" s="6"/>
      <c r="J26" s="8" t="s">
        <v>42</v>
      </c>
      <c r="K26" s="8" t="s">
        <v>112</v>
      </c>
      <c r="L26" s="6" t="str">
        <f t="shared" si="2"/>
        <v>02</v>
      </c>
      <c r="M26" s="9" t="str">
        <f t="shared" si="3"/>
        <v>2372</v>
      </c>
      <c r="N26" t="str">
        <f t="shared" si="4"/>
        <v>N</v>
      </c>
    </row>
    <row r="27" spans="1:15">
      <c r="A27" t="s">
        <v>113</v>
      </c>
      <c r="B27" t="s">
        <v>114</v>
      </c>
      <c r="C27" s="5" t="s">
        <v>115</v>
      </c>
      <c r="D27" t="str">
        <f t="shared" si="0"/>
        <v>Mary Ferris</v>
      </c>
      <c r="E27" t="str">
        <f t="shared" si="1"/>
        <v>mary.ferris@pushpin.com</v>
      </c>
      <c r="F27" s="6">
        <v>38553</v>
      </c>
      <c r="G27" s="7"/>
      <c r="H27" s="6">
        <v>42845</v>
      </c>
      <c r="I27" s="6"/>
      <c r="J27" s="8" t="s">
        <v>19</v>
      </c>
      <c r="K27" s="8" t="s">
        <v>116</v>
      </c>
      <c r="L27" s="6" t="str">
        <f t="shared" si="2"/>
        <v>03</v>
      </c>
      <c r="M27" s="9" t="str">
        <f t="shared" si="3"/>
        <v>2392</v>
      </c>
      <c r="N27" t="str">
        <f t="shared" si="4"/>
        <v>N</v>
      </c>
    </row>
    <row r="28" spans="1:15">
      <c r="A28" t="s">
        <v>117</v>
      </c>
      <c r="B28" t="s">
        <v>118</v>
      </c>
      <c r="C28" s="5" t="s">
        <v>119</v>
      </c>
      <c r="D28" t="str">
        <f t="shared" si="0"/>
        <v>Susan Filosa</v>
      </c>
      <c r="E28" t="str">
        <f t="shared" si="1"/>
        <v>susan.filosa@pushpin.com</v>
      </c>
      <c r="F28" s="6">
        <v>38749</v>
      </c>
      <c r="G28" s="7"/>
      <c r="H28" s="6">
        <v>42776</v>
      </c>
      <c r="I28" s="6"/>
      <c r="J28" s="8" t="s">
        <v>24</v>
      </c>
      <c r="K28" s="8" t="s">
        <v>120</v>
      </c>
      <c r="L28" s="6" t="str">
        <f t="shared" si="2"/>
        <v>02</v>
      </c>
      <c r="M28" s="9" t="str">
        <f t="shared" si="3"/>
        <v>2279</v>
      </c>
      <c r="N28" t="str">
        <f t="shared" si="4"/>
        <v>W</v>
      </c>
    </row>
    <row r="29" spans="1:15">
      <c r="A29" t="s">
        <v>121</v>
      </c>
      <c r="B29" t="s">
        <v>122</v>
      </c>
      <c r="C29" s="5" t="s">
        <v>123</v>
      </c>
      <c r="D29" t="str">
        <f t="shared" si="0"/>
        <v>Daniel Flanders</v>
      </c>
      <c r="E29" t="str">
        <f t="shared" si="1"/>
        <v>daniel.flanders@pushpin.com</v>
      </c>
      <c r="F29" s="6">
        <v>37515</v>
      </c>
      <c r="G29" s="7"/>
      <c r="H29" s="6">
        <v>42586</v>
      </c>
      <c r="I29" s="6"/>
      <c r="J29" s="8" t="s">
        <v>19</v>
      </c>
      <c r="K29" s="8" t="s">
        <v>124</v>
      </c>
      <c r="L29" s="6" t="str">
        <f t="shared" si="2"/>
        <v>02</v>
      </c>
      <c r="M29" s="9" t="str">
        <f t="shared" si="3"/>
        <v>2639</v>
      </c>
      <c r="N29" t="str">
        <f t="shared" si="4"/>
        <v>N</v>
      </c>
    </row>
    <row r="30" spans="1:15">
      <c r="A30" t="s">
        <v>125</v>
      </c>
      <c r="B30" t="s">
        <v>126</v>
      </c>
      <c r="C30" s="5" t="s">
        <v>127</v>
      </c>
      <c r="D30" t="str">
        <f t="shared" si="0"/>
        <v>Leighton Forrest</v>
      </c>
      <c r="E30" t="str">
        <f t="shared" si="1"/>
        <v>leighton.forrest@pushpin.com</v>
      </c>
      <c r="F30" s="6">
        <v>42125</v>
      </c>
      <c r="G30" s="7"/>
      <c r="H30" s="6">
        <v>42710</v>
      </c>
      <c r="I30" s="6"/>
      <c r="J30" s="8" t="s">
        <v>19</v>
      </c>
      <c r="K30" s="8" t="s">
        <v>128</v>
      </c>
      <c r="L30" s="6" t="str">
        <f t="shared" si="2"/>
        <v>02</v>
      </c>
      <c r="M30" s="9" t="str">
        <f t="shared" si="3"/>
        <v>2284</v>
      </c>
      <c r="N30" t="str">
        <f t="shared" si="4"/>
        <v>N</v>
      </c>
    </row>
    <row r="31" spans="1:15">
      <c r="A31" t="s">
        <v>129</v>
      </c>
      <c r="B31" t="s">
        <v>130</v>
      </c>
      <c r="C31" s="5" t="s">
        <v>131</v>
      </c>
      <c r="D31" t="str">
        <f t="shared" si="0"/>
        <v>Phoebe Gour</v>
      </c>
      <c r="E31" t="str">
        <f t="shared" si="1"/>
        <v>phoebe.gour@pushpin.com</v>
      </c>
      <c r="F31" s="6">
        <v>42726</v>
      </c>
      <c r="G31" s="7"/>
      <c r="H31" s="6">
        <v>42539</v>
      </c>
      <c r="I31" s="6"/>
      <c r="J31" s="8" t="s">
        <v>19</v>
      </c>
      <c r="K31" s="8" t="s">
        <v>132</v>
      </c>
      <c r="L31" s="6" t="str">
        <f t="shared" si="2"/>
        <v>02</v>
      </c>
      <c r="M31" s="9" t="str">
        <f t="shared" si="3"/>
        <v>2910</v>
      </c>
      <c r="N31" t="str">
        <f t="shared" si="4"/>
        <v>N</v>
      </c>
    </row>
    <row r="32" spans="1:15">
      <c r="A32" t="s">
        <v>133</v>
      </c>
      <c r="B32" t="s">
        <v>134</v>
      </c>
      <c r="C32" s="5" t="s">
        <v>135</v>
      </c>
      <c r="D32" t="str">
        <f t="shared" si="0"/>
        <v>Mihael Khan</v>
      </c>
      <c r="E32" t="str">
        <f t="shared" si="1"/>
        <v>mihael.khan@pushpin.com</v>
      </c>
      <c r="F32" s="6">
        <v>40162</v>
      </c>
      <c r="G32" s="7"/>
      <c r="H32" s="6">
        <v>42563</v>
      </c>
      <c r="I32" s="6"/>
      <c r="J32" s="8" t="s">
        <v>19</v>
      </c>
      <c r="K32" s="8" t="s">
        <v>136</v>
      </c>
      <c r="L32" s="6" t="str">
        <f t="shared" si="2"/>
        <v>02</v>
      </c>
      <c r="M32" s="9" t="str">
        <f t="shared" si="3"/>
        <v>2294</v>
      </c>
      <c r="N32" t="str">
        <f t="shared" si="4"/>
        <v>N</v>
      </c>
    </row>
    <row r="33" spans="1:14">
      <c r="A33" t="s">
        <v>137</v>
      </c>
      <c r="B33" t="s">
        <v>138</v>
      </c>
      <c r="C33" s="5" t="s">
        <v>139</v>
      </c>
      <c r="D33" t="str">
        <f t="shared" si="0"/>
        <v>Sean Sanders</v>
      </c>
      <c r="E33" t="str">
        <f t="shared" si="1"/>
        <v>sean.sanders@pushpin.com</v>
      </c>
      <c r="F33" s="6">
        <v>42892</v>
      </c>
      <c r="G33" s="7"/>
      <c r="H33" s="6">
        <v>42731</v>
      </c>
      <c r="I33" s="6"/>
      <c r="J33" s="8" t="s">
        <v>33</v>
      </c>
      <c r="K33" s="8" t="s">
        <v>140</v>
      </c>
      <c r="L33" s="6" t="str">
        <f t="shared" si="2"/>
        <v>03</v>
      </c>
      <c r="M33" s="9" t="str">
        <f t="shared" si="3"/>
        <v>2765</v>
      </c>
      <c r="N33" t="str">
        <f t="shared" si="4"/>
        <v>W</v>
      </c>
    </row>
    <row r="34" spans="1:14">
      <c r="A34" t="s">
        <v>141</v>
      </c>
      <c r="B34" t="s">
        <v>142</v>
      </c>
      <c r="C34" s="5" t="s">
        <v>143</v>
      </c>
      <c r="D34" t="str">
        <f t="shared" si="0"/>
        <v>Radhya Senome</v>
      </c>
      <c r="E34" t="str">
        <f t="shared" si="1"/>
        <v>radhya.senome@pushpin.com</v>
      </c>
      <c r="F34" s="6">
        <v>42325</v>
      </c>
      <c r="G34" s="7"/>
      <c r="H34" s="6">
        <v>42590</v>
      </c>
      <c r="I34" s="6"/>
      <c r="J34" s="8" t="s">
        <v>19</v>
      </c>
      <c r="K34" s="8" t="s">
        <v>144</v>
      </c>
      <c r="L34" s="6" t="str">
        <f t="shared" si="2"/>
        <v>02</v>
      </c>
      <c r="M34" s="9" t="str">
        <f t="shared" si="3"/>
        <v>2260</v>
      </c>
      <c r="N34" t="str">
        <f t="shared" si="4"/>
        <v>N</v>
      </c>
    </row>
    <row r="35" spans="1:14">
      <c r="A35" t="s">
        <v>145</v>
      </c>
      <c r="B35" t="s">
        <v>146</v>
      </c>
      <c r="C35" s="5" t="s">
        <v>147</v>
      </c>
      <c r="D35" t="str">
        <f t="shared" si="0"/>
        <v>Natasha Son Van  Burg</v>
      </c>
      <c r="E35" t="str">
        <f t="shared" si="1"/>
        <v>natasha.son van  burg@pushpin.com</v>
      </c>
      <c r="F35" s="6">
        <v>40714</v>
      </c>
      <c r="G35" s="7"/>
      <c r="H35" s="6">
        <v>42507</v>
      </c>
      <c r="I35" s="6"/>
      <c r="J35" s="8" t="s">
        <v>19</v>
      </c>
      <c r="K35" s="8" t="s">
        <v>148</v>
      </c>
      <c r="L35" s="6" t="str">
        <f t="shared" si="2"/>
        <v>02</v>
      </c>
      <c r="M35" s="9" t="str">
        <f t="shared" si="3"/>
        <v>2578</v>
      </c>
      <c r="N35" t="str">
        <f t="shared" si="4"/>
        <v>W</v>
      </c>
    </row>
    <row r="36" spans="1:14">
      <c r="A36" t="s">
        <v>149</v>
      </c>
      <c r="B36" t="s">
        <v>150</v>
      </c>
      <c r="C36" s="5" t="s">
        <v>151</v>
      </c>
      <c r="D36" t="str">
        <f t="shared" si="0"/>
        <v>Peter Staples</v>
      </c>
      <c r="E36" t="str">
        <f t="shared" si="1"/>
        <v>peter.staples@pushpin.com</v>
      </c>
      <c r="F36" s="6">
        <v>42326</v>
      </c>
      <c r="G36" s="7"/>
      <c r="H36" s="6">
        <v>42801</v>
      </c>
      <c r="I36" s="6"/>
      <c r="J36" s="8" t="s">
        <v>19</v>
      </c>
      <c r="K36" s="8" t="s">
        <v>152</v>
      </c>
      <c r="L36" s="6" t="str">
        <f t="shared" si="2"/>
        <v>02</v>
      </c>
      <c r="M36" s="9" t="str">
        <f t="shared" si="3"/>
        <v>2654</v>
      </c>
      <c r="N36" t="str">
        <f t="shared" si="4"/>
        <v>N</v>
      </c>
    </row>
    <row r="37" spans="1:14">
      <c r="A37" t="s">
        <v>153</v>
      </c>
      <c r="B37" t="s">
        <v>154</v>
      </c>
      <c r="C37" s="5" t="s">
        <v>155</v>
      </c>
      <c r="D37" t="str">
        <f t="shared" si="0"/>
        <v>Mei Wang</v>
      </c>
      <c r="E37" t="str">
        <f t="shared" si="1"/>
        <v>mei.wang@pushpin.com</v>
      </c>
      <c r="F37" s="6">
        <v>40189</v>
      </c>
      <c r="G37" s="7"/>
      <c r="H37" s="6">
        <v>42839</v>
      </c>
      <c r="I37" s="6"/>
      <c r="J37" s="8" t="s">
        <v>55</v>
      </c>
      <c r="K37" s="8" t="s">
        <v>156</v>
      </c>
      <c r="L37" s="6" t="str">
        <f t="shared" si="2"/>
        <v>01</v>
      </c>
      <c r="M37" s="9" t="str">
        <f t="shared" si="3"/>
        <v>2783</v>
      </c>
      <c r="N37" t="str">
        <f t="shared" si="4"/>
        <v>W</v>
      </c>
    </row>
    <row r="38" spans="1:14">
      <c r="A38" t="s">
        <v>157</v>
      </c>
      <c r="B38" t="s">
        <v>158</v>
      </c>
      <c r="C38" s="5" t="s">
        <v>159</v>
      </c>
      <c r="D38" t="str">
        <f t="shared" si="0"/>
        <v>Aanya Zhang</v>
      </c>
      <c r="E38" t="str">
        <f t="shared" si="1"/>
        <v>aanya.zhang@pushpin.com</v>
      </c>
      <c r="F38" s="6">
        <v>42009</v>
      </c>
      <c r="G38" s="7"/>
      <c r="H38" s="6">
        <v>42652</v>
      </c>
      <c r="I38" s="6"/>
      <c r="J38" s="8" t="s">
        <v>19</v>
      </c>
      <c r="K38" s="8" t="s">
        <v>160</v>
      </c>
      <c r="L38" s="6" t="str">
        <f t="shared" si="2"/>
        <v>02</v>
      </c>
      <c r="M38" s="9" t="str">
        <f t="shared" si="3"/>
        <v>2793</v>
      </c>
      <c r="N38" t="str">
        <f t="shared" si="4"/>
        <v>N</v>
      </c>
    </row>
  </sheetData>
  <sortState xmlns:xlrd2="http://schemas.microsoft.com/office/spreadsheetml/2017/richdata2" ref="A4:M38">
    <sortCondition ref="B6"/>
  </sortState>
  <pageMargins left="0.7" right="0.7" top="0.75" bottom="0.75" header="0.3" footer="0.3"/>
  <pageSetup paperSize="9" orientation="portrait" horizontalDpi="75" verticalDpi="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Thuto Mpotsang</cp:lastModifiedBy>
  <cp:revision/>
  <dcterms:created xsi:type="dcterms:W3CDTF">2017-06-15T06:51:00Z</dcterms:created>
  <dcterms:modified xsi:type="dcterms:W3CDTF">2026-07-13T01:58:54Z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A375CBFC1BB6441D863F3656A6A23595_13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